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BA Pace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<sst xmlns="http://schemas.openxmlformats.org/spreadsheetml/2006/main" count="36" uniqueCount="30">
  <si>
    <t xml:space="preserve">NBA PACE ANALYSIS &amp; COMBINED POINTS PROJECTION</t>
  </si>
  <si>
    <t xml:space="preserve">Enter blue values below. Black values are calculated. Green values are links from other sheets.</t>
  </si>
  <si>
    <t xml:space="preserve">TEAM DATA INPUT</t>
  </si>
  <si>
    <t xml:space="preserve">Team</t>
  </si>
  <si>
    <t xml:space="preserve">PPG</t>
  </si>
  <si>
    <t xml:space="preserve">PAPG</t>
  </si>
  <si>
    <t xml:space="preserve">Pace</t>
  </si>
  <si>
    <t xml:space="preserve">Off Eff</t>
  </si>
  <si>
    <t xml:space="preserve">Def Eff</t>
  </si>
  <si>
    <t xml:space="preserve">Notes</t>
  </si>
  <si>
    <t xml:space="preserve">Team A</t>
  </si>
  <si>
    <t xml:space="preserve">Team B</t>
  </si>
  <si>
    <t xml:space="preserve">PACE ANALYSIS &amp; PROJECTIONS</t>
  </si>
  <si>
    <t xml:space="preserve">Team A Pace</t>
  </si>
  <si>
    <t xml:space="preserve">possessions/48min</t>
  </si>
  <si>
    <t xml:space="preserve">Team B Pace</t>
  </si>
  <si>
    <t xml:space="preserve">Avg Pace (Projected)</t>
  </si>
  <si>
    <t xml:space="preserve">Expected pace for matchup</t>
  </si>
  <si>
    <t xml:space="preserve">Pace Differential</t>
  </si>
  <si>
    <t xml:space="preserve">Absolute pace difference</t>
  </si>
  <si>
    <t xml:space="preserve">OFFENSIVE &amp; DEFENSIVE EFFICIENCY</t>
  </si>
  <si>
    <t xml:space="preserve">Off Eff (Pts/Poss)</t>
  </si>
  <si>
    <t xml:space="preserve">Def Eff (Pts/Poss)</t>
  </si>
  <si>
    <t xml:space="preserve">Net Eff</t>
  </si>
  <si>
    <t xml:space="preserve">COMBINED POINTS PROJECTION</t>
  </si>
  <si>
    <t xml:space="preserve">Metric</t>
  </si>
  <si>
    <t xml:space="preserve">Combined Total</t>
  </si>
  <si>
    <t xml:space="preserve">Expected Points</t>
  </si>
  <si>
    <t xml:space="preserve">Over/Under Line</t>
  </si>
  <si>
    <t xml:space="preserve">Projection vs Line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</si>
</sst>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0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7" min="2" style="0" width="18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6" t="n">
        <v>115</v>
      </c>
      <c r="C6" s="6" t="n">
        <v>110</v>
      </c>
      <c r="D6" s="6" t="n">
        <v>100</v>
      </c>
      <c r="E6" s="7" t="n">
        <f aca="false">B6/D6</f>
        <v>1.15</v>
      </c>
      <c r="F6" s="7" t="n">
        <f aca="false">C6/$D$7</f>
        <v>1.12244897959184</v>
      </c>
      <c r="G6" s="8"/>
    </row>
    <row r="7" customFormat="false" ht="15" hidden="false" customHeight="false" outlineLevel="0" collapsed="false">
      <c r="A7" s="5" t="s">
        <v>11</v>
      </c>
      <c r="B7" s="6" t="n">
        <v>118</v>
      </c>
      <c r="C7" s="6" t="n">
        <v>108</v>
      </c>
      <c r="D7" s="6" t="n">
        <v>98</v>
      </c>
      <c r="E7" s="7" t="n">
        <f aca="false">B7/D7</f>
        <v>1.20408163265306</v>
      </c>
      <c r="F7" s="7" t="n">
        <f aca="false">C7/$D$6</f>
        <v>1.08</v>
      </c>
      <c r="G7" s="8"/>
    </row>
    <row r="9" customFormat="false" ht="15" hidden="false" customHeight="false" outlineLevel="0" collapsed="false">
      <c r="A9" s="3" t="s">
        <v>12</v>
      </c>
    </row>
    <row r="11" customFormat="false" ht="15" hidden="false" customHeight="false" outlineLevel="0" collapsed="false">
      <c r="A11" s="9" t="s">
        <v>13</v>
      </c>
      <c r="B11" s="10" t="n">
        <f aca="false">D6</f>
        <v>100</v>
      </c>
      <c r="C11" s="11" t="s">
        <v>14</v>
      </c>
      <c r="D11" s="12"/>
    </row>
    <row r="12" customFormat="false" ht="15" hidden="false" customHeight="false" outlineLevel="0" collapsed="false">
      <c r="A12" s="9" t="s">
        <v>15</v>
      </c>
      <c r="B12" s="10" t="n">
        <f aca="false">D7</f>
        <v>98</v>
      </c>
      <c r="C12" s="11" t="s">
        <v>14</v>
      </c>
      <c r="D12" s="12"/>
    </row>
    <row r="13" customFormat="false" ht="15" hidden="false" customHeight="false" outlineLevel="0" collapsed="false">
      <c r="A13" s="9" t="s">
        <v>16</v>
      </c>
      <c r="B13" s="10" t="n">
        <f aca="false">(D6+D7)/2</f>
        <v>99</v>
      </c>
      <c r="C13" s="11" t="s">
        <v>17</v>
      </c>
      <c r="D13" s="12"/>
    </row>
    <row r="14" customFormat="false" ht="15" hidden="false" customHeight="false" outlineLevel="0" collapsed="false">
      <c r="A14" s="9" t="s">
        <v>18</v>
      </c>
      <c r="B14" s="10" t="n">
        <f aca="false">ABS(D6-D7)</f>
        <v>2</v>
      </c>
      <c r="C14" s="11" t="s">
        <v>19</v>
      </c>
      <c r="D14" s="12"/>
    </row>
    <row r="16" customFormat="false" ht="15" hidden="false" customHeight="false" outlineLevel="0" collapsed="false">
      <c r="A16" s="3" t="s">
        <v>20</v>
      </c>
    </row>
    <row r="17" customFormat="false" ht="15" hidden="false" customHeight="false" outlineLevel="0" collapsed="false">
      <c r="A17" s="4" t="s">
        <v>3</v>
      </c>
      <c r="B17" s="4" t="s">
        <v>21</v>
      </c>
      <c r="C17" s="4" t="s">
        <v>22</v>
      </c>
      <c r="D17" s="4" t="s">
        <v>23</v>
      </c>
    </row>
    <row r="18" customFormat="false" ht="15" hidden="false" customHeight="false" outlineLevel="0" collapsed="false">
      <c r="A18" s="13" t="s">
        <v>10</v>
      </c>
      <c r="B18" s="7" t="n">
        <f aca="false">E6</f>
        <v>1.15</v>
      </c>
      <c r="C18" s="7" t="n">
        <f aca="false">F6</f>
        <v>1.12244897959184</v>
      </c>
      <c r="D18" s="7" t="n">
        <f aca="false">B18-C18</f>
        <v>0.0275510204081633</v>
      </c>
      <c r="E18" s="12"/>
      <c r="F18" s="12"/>
    </row>
    <row r="19" customFormat="false" ht="15" hidden="false" customHeight="false" outlineLevel="0" collapsed="false">
      <c r="A19" s="13" t="s">
        <v>11</v>
      </c>
      <c r="B19" s="7" t="n">
        <f aca="false">E7</f>
        <v>1.20408163265306</v>
      </c>
      <c r="C19" s="7" t="n">
        <f aca="false">F7</f>
        <v>1.08</v>
      </c>
      <c r="D19" s="7" t="n">
        <f aca="false">B19-C19</f>
        <v>0.124081632653061</v>
      </c>
      <c r="E19" s="12"/>
      <c r="F19" s="12"/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4" t="s">
        <v>10</v>
      </c>
      <c r="C22" s="4" t="s">
        <v>11</v>
      </c>
      <c r="D22" s="4" t="s">
        <v>26</v>
      </c>
    </row>
    <row r="23" customFormat="false" ht="15" hidden="false" customHeight="false" outlineLevel="0" collapsed="false">
      <c r="A23" s="8" t="s">
        <v>27</v>
      </c>
      <c r="B23" s="7" t="n">
        <f aca="false">E6*B$13*(1-C18)</f>
        <v>-13.9408163265306</v>
      </c>
      <c r="C23" s="7" t="n">
        <f aca="false">E7*B$13*(1-C19)</f>
        <v>-9.53632653061225</v>
      </c>
      <c r="D23" s="14" t="n">
        <f aca="false">B23+C23</f>
        <v>-23.4771428571429</v>
      </c>
      <c r="E23" s="12"/>
      <c r="F23" s="12"/>
    </row>
    <row r="24" customFormat="false" ht="15" hidden="false" customHeight="false" outlineLevel="0" collapsed="false">
      <c r="A24" s="15" t="s">
        <v>28</v>
      </c>
      <c r="B24" s="16" t="n">
        <v>210</v>
      </c>
      <c r="C24" s="8"/>
      <c r="D24" s="8"/>
    </row>
    <row r="25" customFormat="false" ht="15" hidden="false" customHeight="false" outlineLevel="0" collapsed="false">
      <c r="A25" s="0" t="s">
        <v>29</v>
      </c>
      <c r="B25" s="7" t="n">
        <f aca="false">D23-B24</f>
        <v>-233.477142857143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2026-04-02T01:27:07Z</dcterms:created>
  <dc:creator>openpyxl</dc:creator>
  <dc:description/>
  <dc:language>en-US</dc:language>
  <cp:lastModifiedBy/>
  <dcterms:modified xsi:type="dcterms:W3CDTF">2026-04-02T01:27:07Z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